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saptarshi_guha_ipsos_com/Documents/"/>
    </mc:Choice>
  </mc:AlternateContent>
  <xr:revisionPtr revIDLastSave="0" documentId="8_{7041FE6A-4EDF-4C78-A50B-89D8F76A0B5A}" xr6:coauthVersionLast="47" xr6:coauthVersionMax="47" xr10:uidLastSave="{00000000-0000-0000-0000-000000000000}"/>
  <bookViews>
    <workbookView xWindow="-108" yWindow="-108" windowWidth="23256" windowHeight="12456" xr2:uid="{E33132A8-4135-4A04-B68C-D42020E95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G30" i="1"/>
  <c r="F30" i="1"/>
  <c r="G29" i="1"/>
  <c r="F29" i="1"/>
  <c r="G28" i="1"/>
  <c r="F28" i="1"/>
  <c r="G27" i="1"/>
  <c r="F27" i="1"/>
  <c r="G23" i="1"/>
  <c r="F23" i="1"/>
  <c r="G22" i="1"/>
  <c r="F22" i="1"/>
  <c r="G21" i="1"/>
  <c r="F21" i="1"/>
  <c r="G20" i="1"/>
  <c r="F20" i="1"/>
  <c r="G19" i="1"/>
  <c r="F19" i="1"/>
  <c r="G15" i="1"/>
  <c r="F15" i="1"/>
  <c r="G14" i="1"/>
  <c r="F14" i="1"/>
  <c r="G13" i="1"/>
  <c r="F13" i="1"/>
  <c r="G12" i="1"/>
  <c r="F12" i="1"/>
  <c r="G11" i="1"/>
  <c r="F11" i="1"/>
</calcChain>
</file>

<file path=xl/sharedStrings.xml><?xml version="1.0" encoding="utf-8"?>
<sst xmlns="http://schemas.openxmlformats.org/spreadsheetml/2006/main" count="42" uniqueCount="16">
  <si>
    <t>Component</t>
  </si>
  <si>
    <t>Planned (Week)</t>
  </si>
  <si>
    <t>Achieved</t>
  </si>
  <si>
    <t>% Completion</t>
  </si>
  <si>
    <t>Cumulative Progress</t>
  </si>
  <si>
    <t>Listing (HHs)</t>
  </si>
  <si>
    <t>Baseline HH Survey</t>
  </si>
  <si>
    <t>Performance Monitoring (Sites)</t>
  </si>
  <si>
    <t>Process Monitoring (Visits)</t>
  </si>
  <si>
    <t>Districts</t>
  </si>
  <si>
    <t>Eluru</t>
  </si>
  <si>
    <t>Krishna</t>
  </si>
  <si>
    <t>NTR</t>
  </si>
  <si>
    <t>YSR Kadapa</t>
  </si>
  <si>
    <t>Vijiyanagaram</t>
  </si>
  <si>
    <t>Process Monitoring (Sites)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</si>
</sst>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9" fontId="3" fillId="0" borderId="1" xfId="0" applyNumberFormat="1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justify" vertical="center" wrapText="1"/>
    </xf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5043-F405-4F8E-9355-21EEA41DD31D}">
  <dimension ref="C3:G31"/>
  <sheetViews>
    <sheetView tabSelected="1" workbookViewId="0">
      <selection sqref="A1:XFD1048576"/>
    </sheetView>
  </sheetViews>
  <sheetFormatPr defaultRowHeight="14.4" x14ac:dyDescent="0.3"/>
  <cols>
    <col min="3" max="3" width="30.44140625" customWidth="1"/>
    <col min="4" max="4" width="14.88671875" bestFit="1" customWidth="1"/>
    <col min="6" max="6" width="13.33203125" bestFit="1" customWidth="1"/>
    <col min="7" max="7" width="19.44140625" bestFit="1" customWidth="1"/>
  </cols>
  <sheetData>
    <row r="3" spans="3:7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x14ac:dyDescent="0.3">
      <c r="C4" s="2" t="s">
        <v>5</v>
      </c>
      <c r="D4" s="2">
        <v>600</v>
      </c>
      <c r="E4" s="2">
        <v>540</v>
      </c>
      <c r="F4" s="3">
        <v>0.9</v>
      </c>
      <c r="G4" s="4">
        <v>1140</v>
      </c>
    </row>
    <row r="5" spans="3:7" x14ac:dyDescent="0.3">
      <c r="C5" s="2" t="s">
        <v>6</v>
      </c>
      <c r="D5" s="2">
        <v>240</v>
      </c>
      <c r="E5" s="2">
        <v>228</v>
      </c>
      <c r="F5" s="3">
        <v>0.95</v>
      </c>
      <c r="G5" s="2">
        <v>348</v>
      </c>
    </row>
    <row r="6" spans="3:7" x14ac:dyDescent="0.3">
      <c r="C6" s="2" t="s">
        <v>7</v>
      </c>
      <c r="D6" s="2">
        <v>150</v>
      </c>
      <c r="E6" s="2">
        <v>142</v>
      </c>
      <c r="F6" s="3">
        <v>0.95</v>
      </c>
      <c r="G6" s="2">
        <v>282</v>
      </c>
    </row>
    <row r="7" spans="3:7" x14ac:dyDescent="0.3">
      <c r="C7" s="2" t="s">
        <v>8</v>
      </c>
      <c r="D7" s="2">
        <v>680</v>
      </c>
      <c r="E7" s="2">
        <v>650</v>
      </c>
      <c r="F7" s="3">
        <v>0.96</v>
      </c>
      <c r="G7" s="4">
        <v>1210</v>
      </c>
    </row>
    <row r="8" spans="3:7" x14ac:dyDescent="0.3">
      <c r="C8" s="5"/>
      <c r="D8" s="5"/>
      <c r="E8" s="5"/>
      <c r="F8" s="5"/>
      <c r="G8" s="5"/>
    </row>
    <row r="9" spans="3:7" x14ac:dyDescent="0.3">
      <c r="C9" s="1" t="s">
        <v>6</v>
      </c>
      <c r="D9" s="5"/>
      <c r="E9" s="5"/>
      <c r="F9" s="5"/>
      <c r="G9" s="5"/>
    </row>
    <row r="10" spans="3:7" x14ac:dyDescent="0.3">
      <c r="C10" s="2" t="s">
        <v>9</v>
      </c>
      <c r="D10" s="1" t="s">
        <v>1</v>
      </c>
      <c r="E10" s="1" t="s">
        <v>2</v>
      </c>
      <c r="F10" s="1" t="s">
        <v>3</v>
      </c>
      <c r="G10" s="1" t="s">
        <v>4</v>
      </c>
    </row>
    <row r="11" spans="3:7" x14ac:dyDescent="0.3">
      <c r="C11" s="2" t="s">
        <v>10</v>
      </c>
      <c r="D11" s="5">
        <v>120</v>
      </c>
      <c r="E11" s="5">
        <v>100</v>
      </c>
      <c r="F11" s="6">
        <f>E11/D11</f>
        <v>0.83333333333333337</v>
      </c>
      <c r="G11" s="5">
        <f>E11</f>
        <v>100</v>
      </c>
    </row>
    <row r="12" spans="3:7" x14ac:dyDescent="0.3">
      <c r="C12" s="2" t="s">
        <v>11</v>
      </c>
      <c r="D12" s="5">
        <v>40</v>
      </c>
      <c r="E12" s="5">
        <v>26</v>
      </c>
      <c r="F12" s="6">
        <f t="shared" ref="F12:F15" si="0">E12/D12</f>
        <v>0.65</v>
      </c>
      <c r="G12" s="5">
        <f t="shared" ref="G12:G15" si="1">E12</f>
        <v>26</v>
      </c>
    </row>
    <row r="13" spans="3:7" x14ac:dyDescent="0.3">
      <c r="C13" s="2" t="s">
        <v>12</v>
      </c>
      <c r="D13" s="5">
        <v>50</v>
      </c>
      <c r="E13" s="5">
        <v>32</v>
      </c>
      <c r="F13" s="6">
        <f t="shared" si="0"/>
        <v>0.64</v>
      </c>
      <c r="G13" s="5">
        <f t="shared" si="1"/>
        <v>32</v>
      </c>
    </row>
    <row r="14" spans="3:7" x14ac:dyDescent="0.3">
      <c r="C14" s="2" t="s">
        <v>13</v>
      </c>
      <c r="D14" s="5">
        <v>60</v>
      </c>
      <c r="E14" s="5">
        <v>42</v>
      </c>
      <c r="F14" s="6">
        <f t="shared" si="0"/>
        <v>0.7</v>
      </c>
      <c r="G14" s="5">
        <f t="shared" si="1"/>
        <v>42</v>
      </c>
    </row>
    <row r="15" spans="3:7" x14ac:dyDescent="0.3">
      <c r="C15" s="2" t="s">
        <v>14</v>
      </c>
      <c r="D15" s="5">
        <v>90</v>
      </c>
      <c r="E15" s="5">
        <v>48</v>
      </c>
      <c r="F15" s="6">
        <f t="shared" si="0"/>
        <v>0.53333333333333333</v>
      </c>
      <c r="G15" s="5">
        <f t="shared" si="1"/>
        <v>48</v>
      </c>
    </row>
    <row r="16" spans="3:7" x14ac:dyDescent="0.3">
      <c r="C16" s="5"/>
      <c r="D16" s="5"/>
      <c r="E16" s="5"/>
      <c r="F16" s="5"/>
      <c r="G16" s="5"/>
    </row>
    <row r="17" spans="3:7" x14ac:dyDescent="0.3">
      <c r="C17" s="1" t="s">
        <v>7</v>
      </c>
      <c r="D17" s="5"/>
      <c r="E17" s="5"/>
      <c r="F17" s="5"/>
      <c r="G17" s="5"/>
    </row>
    <row r="18" spans="3:7" x14ac:dyDescent="0.3">
      <c r="C18" s="2" t="s">
        <v>9</v>
      </c>
      <c r="D18" s="1" t="s">
        <v>1</v>
      </c>
      <c r="E18" s="1" t="s">
        <v>2</v>
      </c>
      <c r="F18" s="1" t="s">
        <v>3</v>
      </c>
      <c r="G18" s="1" t="s">
        <v>4</v>
      </c>
    </row>
    <row r="19" spans="3:7" x14ac:dyDescent="0.3">
      <c r="C19" s="2" t="s">
        <v>10</v>
      </c>
      <c r="D19" s="5">
        <v>600</v>
      </c>
      <c r="E19" s="5">
        <v>234</v>
      </c>
      <c r="F19" s="6">
        <f>E19/D19</f>
        <v>0.39</v>
      </c>
      <c r="G19" s="5">
        <f>E19</f>
        <v>234</v>
      </c>
    </row>
    <row r="20" spans="3:7" x14ac:dyDescent="0.3">
      <c r="C20" s="2" t="s">
        <v>11</v>
      </c>
      <c r="D20" s="5">
        <v>1000</v>
      </c>
      <c r="E20" s="5">
        <v>450</v>
      </c>
      <c r="F20" s="6">
        <f t="shared" ref="F20:F23" si="2">E20/D20</f>
        <v>0.45</v>
      </c>
      <c r="G20" s="5">
        <f t="shared" ref="G20:G23" si="3">E20</f>
        <v>450</v>
      </c>
    </row>
    <row r="21" spans="3:7" x14ac:dyDescent="0.3">
      <c r="C21" s="2" t="s">
        <v>12</v>
      </c>
      <c r="D21" s="5">
        <v>1320</v>
      </c>
      <c r="E21" s="5">
        <v>540</v>
      </c>
      <c r="F21" s="6">
        <f t="shared" si="2"/>
        <v>0.40909090909090912</v>
      </c>
      <c r="G21" s="5">
        <f t="shared" si="3"/>
        <v>540</v>
      </c>
    </row>
    <row r="22" spans="3:7" x14ac:dyDescent="0.3">
      <c r="C22" s="2" t="s">
        <v>13</v>
      </c>
      <c r="D22" s="5">
        <v>900</v>
      </c>
      <c r="E22" s="5">
        <v>230</v>
      </c>
      <c r="F22" s="6">
        <f t="shared" si="2"/>
        <v>0.25555555555555554</v>
      </c>
      <c r="G22" s="5">
        <f t="shared" si="3"/>
        <v>230</v>
      </c>
    </row>
    <row r="23" spans="3:7" x14ac:dyDescent="0.3">
      <c r="C23" s="2" t="s">
        <v>14</v>
      </c>
      <c r="D23" s="5">
        <v>2100</v>
      </c>
      <c r="E23" s="5">
        <v>670</v>
      </c>
      <c r="F23" s="6">
        <f t="shared" si="2"/>
        <v>0.31904761904761902</v>
      </c>
      <c r="G23" s="5">
        <f t="shared" si="3"/>
        <v>670</v>
      </c>
    </row>
    <row r="24" spans="3:7" x14ac:dyDescent="0.3">
      <c r="C24" s="5"/>
      <c r="D24" s="5"/>
      <c r="E24" s="5"/>
      <c r="F24" s="5"/>
      <c r="G24" s="5"/>
    </row>
    <row r="25" spans="3:7" x14ac:dyDescent="0.3">
      <c r="C25" s="1" t="s">
        <v>15</v>
      </c>
      <c r="D25" s="5"/>
      <c r="E25" s="5"/>
      <c r="F25" s="5"/>
      <c r="G25" s="5"/>
    </row>
    <row r="26" spans="3:7" x14ac:dyDescent="0.3">
      <c r="C26" s="2" t="s">
        <v>9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3:7" x14ac:dyDescent="0.3">
      <c r="C27" s="2" t="s">
        <v>10</v>
      </c>
      <c r="D27" s="5">
        <v>50</v>
      </c>
      <c r="E27" s="5">
        <v>22</v>
      </c>
      <c r="F27" s="6">
        <f>E27/D27</f>
        <v>0.44</v>
      </c>
      <c r="G27" s="5">
        <f>E27</f>
        <v>22</v>
      </c>
    </row>
    <row r="28" spans="3:7" x14ac:dyDescent="0.3">
      <c r="C28" s="2" t="s">
        <v>11</v>
      </c>
      <c r="D28" s="5">
        <v>75</v>
      </c>
      <c r="E28" s="5">
        <v>26</v>
      </c>
      <c r="F28" s="6">
        <f t="shared" ref="F28:F31" si="4">E28/D28</f>
        <v>0.34666666666666668</v>
      </c>
      <c r="G28" s="5">
        <f t="shared" ref="G28:G31" si="5">E28</f>
        <v>26</v>
      </c>
    </row>
    <row r="29" spans="3:7" x14ac:dyDescent="0.3">
      <c r="C29" s="2" t="s">
        <v>12</v>
      </c>
      <c r="D29" s="5">
        <v>50</v>
      </c>
      <c r="E29" s="5">
        <v>32</v>
      </c>
      <c r="F29" s="6">
        <f t="shared" si="4"/>
        <v>0.64</v>
      </c>
      <c r="G29" s="5">
        <f t="shared" si="5"/>
        <v>32</v>
      </c>
    </row>
    <row r="30" spans="3:7" x14ac:dyDescent="0.3">
      <c r="C30" s="2" t="s">
        <v>13</v>
      </c>
      <c r="D30" s="5">
        <v>70</v>
      </c>
      <c r="E30" s="5">
        <v>42</v>
      </c>
      <c r="F30" s="6">
        <f t="shared" si="4"/>
        <v>0.6</v>
      </c>
      <c r="G30" s="5">
        <f t="shared" si="5"/>
        <v>42</v>
      </c>
    </row>
    <row r="31" spans="3:7" x14ac:dyDescent="0.3">
      <c r="C31" s="2" t="s">
        <v>14</v>
      </c>
      <c r="D31" s="5">
        <v>45</v>
      </c>
      <c r="E31" s="5">
        <v>21</v>
      </c>
      <c r="F31" s="6">
        <f t="shared" si="4"/>
        <v>0.46666666666666667</v>
      </c>
      <c r="G31" s="5">
        <f t="shared" si="5"/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Saptarshi Guha</dc:creator>
  <cp:lastModifiedBy>Saptarshi Guha</cp:lastModifiedBy>
  <dcterms:created xsi:type="dcterms:W3CDTF">2026-04-10T11:09:15Z</dcterms:created>
  <dcterms:modified xsi:type="dcterms:W3CDTF">2026-04-10T11:09:27Z</dcterms:modified>
</cp:coreProperties>
</file>